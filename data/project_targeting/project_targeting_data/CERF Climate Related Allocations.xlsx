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F climate related allocation" sheetId="1" r:id="rId4"/>
    <sheet state="visible" name="READ ME" sheetId="2" r:id="rId5"/>
  </sheets>
  <definedNames/>
  <calcPr/>
  <extLst>
    <ext uri="GoogleSheetsCustomDataVersion1">
      <go:sheetsCustomData xmlns:go="http://customooxmlschemas.google.com/" r:id="rId6" roundtripDataSignature="AMtx7mitVa3KBHp6R4rRk/PKQ+N4kASF6A=="/>
    </ext>
  </extLst>
</workbook>
</file>

<file path=xl/sharedStrings.xml><?xml version="1.0" encoding="utf-8"?>
<sst xmlns="http://schemas.openxmlformats.org/spreadsheetml/2006/main" count="23" uniqueCount="14">
  <si>
    <t>Year</t>
  </si>
  <si>
    <t>CERF allocations for drought</t>
  </si>
  <si>
    <t>CERF allocations for floods</t>
  </si>
  <si>
    <t>CERF allocations for storms</t>
  </si>
  <si>
    <t>CERF allocations for heat/cold waves</t>
  </si>
  <si>
    <t xml:space="preserve">TOTAL climate related allocations </t>
  </si>
  <si>
    <t>TOTAL CERF allocations (USD)</t>
  </si>
  <si>
    <t>Climate allocation %</t>
  </si>
  <si>
    <t>n/a</t>
  </si>
  <si>
    <t>Total</t>
  </si>
  <si>
    <t>Average</t>
  </si>
  <si>
    <t>All numbers are in USD millions</t>
  </si>
  <si>
    <t>$61m</t>
  </si>
  <si>
    <t>Data taken from a submission by the United Nations Office for the Coordination of Humanitarian Affairs (OCHA) to the Executive Committee of the Warsaw International Mechanisms for Loss and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</si>
</sst>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  <scheme val="minor"/>
    </font>
    <font>
      <sz val="13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1" numFmtId="0" xfId="0" applyAlignment="1" applyBorder="1" applyFont="1">
      <alignment horizontal="right" readingOrder="0" vertical="center"/>
    </xf>
    <xf borderId="2" fillId="2" fontId="1" numFmtId="0" xfId="0" applyAlignment="1" applyBorder="1" applyFont="1">
      <alignment horizontal="righ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3" numFmtId="3" xfId="0" applyAlignment="1" applyFont="1" applyNumberFormat="1">
      <alignment vertical="center"/>
    </xf>
    <xf borderId="0" fillId="0" fontId="3" numFmtId="3" xfId="0" applyAlignment="1" applyFont="1" applyNumberFormat="1">
      <alignment horizontal="right" readingOrder="0" vertical="center"/>
    </xf>
    <xf borderId="0" fillId="3" fontId="3" numFmtId="3" xfId="0" applyAlignment="1" applyFill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0" fillId="0" fontId="3" numFmtId="9" xfId="0" applyAlignment="1" applyFont="1" applyNumberFormat="1">
      <alignment horizontal="right" vertical="center"/>
    </xf>
    <xf borderId="0" fillId="0" fontId="3" numFmtId="9" xfId="0" applyAlignment="1" applyFont="1" applyNumberFormat="1">
      <alignment vertical="center"/>
    </xf>
    <xf borderId="0" fillId="0" fontId="3" numFmtId="3" xfId="0" applyAlignment="1" applyFont="1" applyNumberFormat="1">
      <alignment horizontal="right" vertical="center"/>
    </xf>
    <xf borderId="3" fillId="0" fontId="1" numFmtId="0" xfId="0" applyAlignment="1" applyBorder="1" applyFont="1">
      <alignment horizontal="right" vertical="center"/>
    </xf>
    <xf borderId="3" fillId="0" fontId="3" numFmtId="3" xfId="0" applyAlignment="1" applyBorder="1" applyFont="1" applyNumberFormat="1">
      <alignment vertical="center"/>
    </xf>
    <xf borderId="3" fillId="0" fontId="3" numFmtId="3" xfId="0" applyAlignment="1" applyBorder="1" applyFont="1" applyNumberFormat="1">
      <alignment horizontal="right" readingOrder="0" vertical="center"/>
    </xf>
    <xf borderId="3" fillId="0" fontId="3" numFmtId="3" xfId="0" applyAlignment="1" applyBorder="1" applyFont="1" applyNumberFormat="1">
      <alignment horizontal="right" vertical="center"/>
    </xf>
    <xf borderId="3" fillId="0" fontId="1" numFmtId="3" xfId="0" applyAlignment="1" applyBorder="1" applyFont="1" applyNumberFormat="1">
      <alignment horizontal="right" vertical="center"/>
    </xf>
    <xf borderId="3" fillId="0" fontId="3" numFmtId="9" xfId="0" applyAlignment="1" applyBorder="1" applyFont="1" applyNumberFormat="1">
      <alignment horizontal="right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1" numFmtId="9" xfId="0" applyAlignment="1" applyFont="1" applyNumberFormat="1">
      <alignment horizontal="right" vertical="center"/>
    </xf>
    <xf borderId="0" fillId="0" fontId="4" numFmtId="0" xfId="0" applyAlignment="1" applyFont="1">
      <alignment horizontal="right"/>
    </xf>
    <xf borderId="0" fillId="0" fontId="4" numFmtId="1" xfId="0" applyAlignment="1" applyFont="1" applyNumberFormat="1">
      <alignment horizontal="right"/>
    </xf>
    <xf borderId="0" fillId="0" fontId="4" numFmtId="9" xfId="0" applyAlignment="1" applyFont="1" applyNumberFormat="1">
      <alignment horizontal="right"/>
    </xf>
    <xf borderId="0" fillId="0" fontId="4" numFmtId="9" xfId="0" applyFont="1" applyNumberForma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vertical="center"/>
    </xf>
    <xf borderId="0" fillId="0" fontId="4" numFmtId="3" xfId="0" applyAlignment="1" applyFont="1" applyNumberFormat="1">
      <alignment horizontal="left" readingOrder="0"/>
    </xf>
    <xf borderId="0" fillId="0" fontId="4" numFmtId="0" xfId="0" applyFont="1"/>
    <xf borderId="0" fillId="0" fontId="0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5.22"/>
    <col customWidth="1" min="3" max="3" width="23.67"/>
    <col customWidth="1" min="4" max="4" width="24.22"/>
    <col customWidth="1" min="5" max="5" width="30.22"/>
    <col customWidth="1" min="6" max="6" width="27.78"/>
    <col customWidth="1" min="7" max="7" width="24.33"/>
    <col customWidth="1" min="8" max="8" width="17.11"/>
    <col customWidth="1" min="9" max="9" width="21.67"/>
    <col customWidth="1" min="10" max="10" width="30.33"/>
    <col customWidth="1" min="11" max="11" width="25.44"/>
    <col customWidth="1" min="12" max="12" width="27.56"/>
    <col customWidth="1" min="13" max="13" width="28.0"/>
    <col customWidth="1" min="14" max="30" width="10.56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29.25" customHeight="1">
      <c r="A2" s="6">
        <v>2006.0</v>
      </c>
      <c r="B2" s="7">
        <v>60.7</v>
      </c>
      <c r="C2" s="8">
        <v>30.4</v>
      </c>
      <c r="D2" s="8">
        <v>1.0</v>
      </c>
      <c r="E2" s="8" t="s">
        <v>8</v>
      </c>
      <c r="F2" s="9">
        <v>92.1</v>
      </c>
      <c r="G2" s="10">
        <v>257.2</v>
      </c>
      <c r="H2" s="11">
        <f t="shared" ref="H2:H17" si="1">F2/G2</f>
        <v>0.3580870918</v>
      </c>
      <c r="I2" s="4"/>
      <c r="J2" s="12"/>
      <c r="K2" s="5"/>
      <c r="L2" s="1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9.25" customHeight="1">
      <c r="A3" s="6">
        <v>2007.0</v>
      </c>
      <c r="B3" s="7">
        <v>4.6</v>
      </c>
      <c r="C3" s="8">
        <v>33.5</v>
      </c>
      <c r="D3" s="8">
        <v>52.7</v>
      </c>
      <c r="E3" s="8">
        <v>1.8</v>
      </c>
      <c r="F3" s="13">
        <v>92.5</v>
      </c>
      <c r="G3" s="10">
        <v>353.0</v>
      </c>
      <c r="H3" s="11">
        <f t="shared" si="1"/>
        <v>0.2620396601</v>
      </c>
      <c r="I3" s="4"/>
      <c r="J3" s="12"/>
      <c r="K3" s="5"/>
      <c r="L3" s="1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29.25" customHeight="1">
      <c r="A4" s="6">
        <v>2008.0</v>
      </c>
      <c r="B4" s="7">
        <v>106.4</v>
      </c>
      <c r="C4" s="8">
        <v>42.5</v>
      </c>
      <c r="D4" s="8">
        <v>44.7</v>
      </c>
      <c r="E4" s="8">
        <v>7.2</v>
      </c>
      <c r="F4" s="13">
        <v>200.9</v>
      </c>
      <c r="G4" s="10">
        <v>428.8</v>
      </c>
      <c r="H4" s="11">
        <f t="shared" si="1"/>
        <v>0.468516791</v>
      </c>
      <c r="I4" s="4"/>
      <c r="J4" s="12"/>
      <c r="K4" s="5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29.25" customHeight="1">
      <c r="A5" s="6">
        <v>2009.0</v>
      </c>
      <c r="B5" s="7">
        <v>41.1</v>
      </c>
      <c r="C5" s="8">
        <v>27.5</v>
      </c>
      <c r="D5" s="8">
        <v>8.5</v>
      </c>
      <c r="E5" s="8">
        <v>4.2</v>
      </c>
      <c r="F5" s="13">
        <v>81.3</v>
      </c>
      <c r="G5" s="10">
        <v>397.4</v>
      </c>
      <c r="H5" s="11">
        <f t="shared" si="1"/>
        <v>0.2045797685</v>
      </c>
      <c r="I5" s="4"/>
      <c r="J5" s="12"/>
      <c r="K5" s="5"/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29.25" customHeight="1">
      <c r="A6" s="6">
        <v>2010.0</v>
      </c>
      <c r="B6" s="7">
        <v>62.9</v>
      </c>
      <c r="C6" s="8">
        <v>54.3</v>
      </c>
      <c r="D6" s="8">
        <v>15.5</v>
      </c>
      <c r="E6" s="8">
        <v>3.6</v>
      </c>
      <c r="F6" s="13">
        <v>136.3</v>
      </c>
      <c r="G6" s="10">
        <v>415.2</v>
      </c>
      <c r="H6" s="11">
        <f t="shared" si="1"/>
        <v>0.3282755299</v>
      </c>
      <c r="I6" s="4"/>
      <c r="J6" s="12"/>
      <c r="K6" s="5"/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29.25" customHeight="1">
      <c r="A7" s="6">
        <v>2011.0</v>
      </c>
      <c r="B7" s="7">
        <v>98.3</v>
      </c>
      <c r="C7" s="8">
        <v>48.1</v>
      </c>
      <c r="D7" s="8">
        <v>3.2</v>
      </c>
      <c r="E7" s="8" t="s">
        <v>8</v>
      </c>
      <c r="F7" s="13">
        <v>149.6</v>
      </c>
      <c r="G7" s="10">
        <v>427.0</v>
      </c>
      <c r="H7" s="11">
        <f t="shared" si="1"/>
        <v>0.3503512881</v>
      </c>
      <c r="I7" s="4"/>
      <c r="J7" s="12"/>
      <c r="K7" s="5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29.25" customHeight="1">
      <c r="A8" s="6">
        <v>2012.0</v>
      </c>
      <c r="B8" s="7">
        <v>95.6</v>
      </c>
      <c r="C8" s="8">
        <v>40.0</v>
      </c>
      <c r="D8" s="8">
        <v>11.5</v>
      </c>
      <c r="E8" s="8" t="s">
        <v>8</v>
      </c>
      <c r="F8" s="13">
        <v>147.0</v>
      </c>
      <c r="G8" s="10">
        <v>489.5</v>
      </c>
      <c r="H8" s="11">
        <f t="shared" si="1"/>
        <v>0.3003064351</v>
      </c>
      <c r="I8" s="4"/>
      <c r="J8" s="12"/>
      <c r="K8" s="5"/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29.25" customHeight="1">
      <c r="A9" s="6">
        <v>2013.0</v>
      </c>
      <c r="B9" s="7">
        <v>24.3</v>
      </c>
      <c r="C9" s="8">
        <v>24.0</v>
      </c>
      <c r="D9" s="8">
        <v>28.3</v>
      </c>
      <c r="E9" s="8" t="s">
        <v>8</v>
      </c>
      <c r="F9" s="13">
        <v>76.6</v>
      </c>
      <c r="G9" s="10">
        <v>482.0</v>
      </c>
      <c r="H9" s="11">
        <f t="shared" si="1"/>
        <v>0.1589211618</v>
      </c>
      <c r="I9" s="4"/>
      <c r="J9" s="12"/>
      <c r="K9" s="5"/>
      <c r="L9" s="1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29.25" customHeight="1">
      <c r="A10" s="6">
        <v>2014.0</v>
      </c>
      <c r="B10" s="7">
        <v>25.7</v>
      </c>
      <c r="C10" s="8">
        <v>16.6</v>
      </c>
      <c r="D10" s="8" t="s">
        <v>8</v>
      </c>
      <c r="E10" s="8" t="s">
        <v>8</v>
      </c>
      <c r="F10" s="13">
        <v>42.3</v>
      </c>
      <c r="G10" s="10">
        <v>460.8</v>
      </c>
      <c r="H10" s="11">
        <f t="shared" si="1"/>
        <v>0.091796875</v>
      </c>
      <c r="I10" s="4"/>
      <c r="J10" s="12"/>
      <c r="K10" s="5"/>
      <c r="L10" s="1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29.25" customHeight="1">
      <c r="A11" s="6">
        <v>2015.0</v>
      </c>
      <c r="B11" s="7">
        <v>90.1</v>
      </c>
      <c r="C11" s="8">
        <v>27.4</v>
      </c>
      <c r="D11" s="8">
        <v>6.6</v>
      </c>
      <c r="E11" s="8">
        <v>1.2</v>
      </c>
      <c r="F11" s="13">
        <v>125.2</v>
      </c>
      <c r="G11" s="10">
        <v>469.7</v>
      </c>
      <c r="H11" s="11">
        <f t="shared" si="1"/>
        <v>0.266553119</v>
      </c>
      <c r="I11" s="4"/>
      <c r="J11" s="12"/>
      <c r="K11" s="5"/>
      <c r="L11" s="1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29.25" customHeight="1">
      <c r="A12" s="6">
        <v>2016.0</v>
      </c>
      <c r="B12" s="7">
        <v>52.8</v>
      </c>
      <c r="C12" s="8">
        <v>19.0</v>
      </c>
      <c r="D12" s="8">
        <v>23.8</v>
      </c>
      <c r="E12" s="8">
        <v>2.4</v>
      </c>
      <c r="F12" s="13">
        <v>98.0</v>
      </c>
      <c r="G12" s="10">
        <v>438.9</v>
      </c>
      <c r="H12" s="11">
        <f t="shared" si="1"/>
        <v>0.2232854864</v>
      </c>
      <c r="I12" s="4"/>
      <c r="J12" s="12"/>
      <c r="K12" s="5"/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29.25" customHeight="1">
      <c r="A13" s="6">
        <v>2017.0</v>
      </c>
      <c r="B13" s="7">
        <v>90.8</v>
      </c>
      <c r="C13" s="8">
        <v>19.0</v>
      </c>
      <c r="D13" s="8">
        <v>28.3</v>
      </c>
      <c r="E13" s="8">
        <v>1.1</v>
      </c>
      <c r="F13" s="13">
        <v>139.2</v>
      </c>
      <c r="G13" s="10">
        <v>418.2</v>
      </c>
      <c r="H13" s="11">
        <f t="shared" si="1"/>
        <v>0.3328550933</v>
      </c>
      <c r="I13" s="4"/>
      <c r="J13" s="12"/>
      <c r="K13" s="5"/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29.25" customHeight="1">
      <c r="A14" s="6">
        <v>2018.0</v>
      </c>
      <c r="B14" s="7">
        <v>59.3</v>
      </c>
      <c r="C14" s="8">
        <v>30.8</v>
      </c>
      <c r="D14" s="8">
        <v>6.9</v>
      </c>
      <c r="E14" s="8" t="s">
        <v>8</v>
      </c>
      <c r="F14" s="13">
        <v>97.0</v>
      </c>
      <c r="G14" s="10">
        <v>500.5</v>
      </c>
      <c r="H14" s="11">
        <f t="shared" si="1"/>
        <v>0.1938061938</v>
      </c>
      <c r="I14" s="4"/>
      <c r="J14" s="12"/>
      <c r="K14" s="5"/>
      <c r="L14" s="1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29.25" customHeight="1">
      <c r="A15" s="6">
        <v>2019.0</v>
      </c>
      <c r="B15" s="7">
        <v>128.4</v>
      </c>
      <c r="C15" s="8">
        <v>34.5</v>
      </c>
      <c r="D15" s="8">
        <v>43.4</v>
      </c>
      <c r="E15" s="8" t="s">
        <v>8</v>
      </c>
      <c r="F15" s="13">
        <v>206.3</v>
      </c>
      <c r="G15" s="10">
        <v>538.7</v>
      </c>
      <c r="H15" s="11">
        <f t="shared" si="1"/>
        <v>0.3829589753</v>
      </c>
      <c r="I15" s="4"/>
      <c r="J15" s="12"/>
      <c r="K15" s="5"/>
      <c r="L15" s="12"/>
      <c r="M15" s="5"/>
      <c r="N15" s="5"/>
      <c r="O15" s="5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29.25" customHeight="1">
      <c r="A16" s="6">
        <v>2020.0</v>
      </c>
      <c r="B16" s="7">
        <v>76.3</v>
      </c>
      <c r="C16" s="8">
        <v>49.7</v>
      </c>
      <c r="D16" s="8">
        <v>26.2</v>
      </c>
      <c r="E16" s="8" t="s">
        <v>8</v>
      </c>
      <c r="F16" s="13">
        <v>152.1</v>
      </c>
      <c r="G16" s="10">
        <v>848.1</v>
      </c>
      <c r="H16" s="11">
        <f t="shared" si="1"/>
        <v>0.1793420587</v>
      </c>
      <c r="I16" s="4"/>
      <c r="J16" s="12"/>
      <c r="K16" s="5"/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29.25" customHeight="1">
      <c r="A17" s="14">
        <v>2021.0</v>
      </c>
      <c r="B17" s="15">
        <v>84.8</v>
      </c>
      <c r="C17" s="16">
        <v>19.6</v>
      </c>
      <c r="D17" s="16">
        <v>0.5</v>
      </c>
      <c r="E17" s="16" t="s">
        <v>8</v>
      </c>
      <c r="F17" s="17">
        <v>104.9</v>
      </c>
      <c r="G17" s="18">
        <v>548.0</v>
      </c>
      <c r="H17" s="19">
        <f t="shared" si="1"/>
        <v>0.1914233577</v>
      </c>
      <c r="I17" s="4"/>
      <c r="J17" s="12"/>
      <c r="K17" s="5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29.25" customHeight="1">
      <c r="A18" s="20" t="s">
        <v>9</v>
      </c>
      <c r="B18" s="10">
        <f t="shared" ref="B18:G18" si="2">SUM(B2:B17)</f>
        <v>1102.1</v>
      </c>
      <c r="C18" s="10">
        <f t="shared" si="2"/>
        <v>516.9</v>
      </c>
      <c r="D18" s="10">
        <f t="shared" si="2"/>
        <v>301.1</v>
      </c>
      <c r="E18" s="10">
        <f t="shared" si="2"/>
        <v>21.5</v>
      </c>
      <c r="F18" s="10">
        <f t="shared" si="2"/>
        <v>1941.3</v>
      </c>
      <c r="G18" s="10">
        <f t="shared" si="2"/>
        <v>7473</v>
      </c>
      <c r="H18" s="6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29.25" customHeight="1">
      <c r="A19" s="20" t="s">
        <v>10</v>
      </c>
      <c r="B19" s="6"/>
      <c r="C19" s="6"/>
      <c r="D19" s="6"/>
      <c r="E19" s="6"/>
      <c r="F19" s="10">
        <f t="shared" ref="F19:H19" si="3">AVERAGE(F2:F17)</f>
        <v>121.33125</v>
      </c>
      <c r="G19" s="10">
        <f t="shared" si="3"/>
        <v>467.0625</v>
      </c>
      <c r="H19" s="22">
        <f t="shared" si="3"/>
        <v>0.2683186803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15.75" customHeight="1">
      <c r="A20" s="23"/>
      <c r="B20" s="24"/>
      <c r="C20" s="24"/>
      <c r="D20" s="24"/>
      <c r="E20" s="24"/>
      <c r="F20" s="24"/>
      <c r="G20" s="23"/>
      <c r="H20" s="25"/>
    </row>
    <row r="21" ht="15.75" customHeight="1">
      <c r="A21" s="23"/>
      <c r="B21" s="23"/>
      <c r="C21" s="23"/>
      <c r="D21" s="23"/>
      <c r="E21" s="23"/>
      <c r="F21" s="23"/>
      <c r="G21" s="23"/>
      <c r="H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J26" s="26"/>
    </row>
    <row r="27" ht="15.75" customHeight="1">
      <c r="A27" s="23"/>
      <c r="B27" s="23"/>
      <c r="C27" s="23"/>
      <c r="D27" s="23"/>
      <c r="E27" s="23"/>
      <c r="F27" s="23"/>
      <c r="G27" s="23"/>
      <c r="H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</row>
    <row r="29" ht="15.75" customHeight="1">
      <c r="A29" s="23"/>
      <c r="B29" s="23"/>
      <c r="C29" s="23"/>
      <c r="D29" s="23"/>
      <c r="E29" s="23"/>
      <c r="F29" s="23"/>
      <c r="G29" s="23"/>
      <c r="H29" s="25"/>
    </row>
    <row r="30" ht="15.75" customHeight="1">
      <c r="A30" s="23"/>
      <c r="B30" s="23"/>
      <c r="C30" s="23"/>
      <c r="D30" s="23"/>
      <c r="E30" s="23"/>
      <c r="F30" s="23"/>
      <c r="G30" s="23"/>
      <c r="H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6.89"/>
  </cols>
  <sheetData>
    <row r="1">
      <c r="A1" s="27" t="s">
        <v>11</v>
      </c>
      <c r="B1" s="28">
        <v>60.7</v>
      </c>
      <c r="C1" s="29" t="s">
        <v>12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2022-09-12T02:30:56Z</dcterms:created>
  <dc:creator>Microsoft Office User</dc:creator>
</cp:coreProperties>
</file>